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central\PROG\"/>
    </mc:Choice>
  </mc:AlternateContent>
  <xr:revisionPtr revIDLastSave="0" documentId="8_{9B51411A-5D65-4FF3-AB7D-EA50540DB0B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1" l="1"/>
  <c r="E32" i="1" l="1"/>
  <c r="D33" i="1"/>
  <c r="C33" i="1"/>
  <c r="B33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3" i="1" l="1"/>
</calcChain>
</file>

<file path=xl/sharedStrings.xml><?xml version="1.0" encoding="utf-8"?>
<sst xmlns="http://schemas.openxmlformats.org/spreadsheetml/2006/main" count="11" uniqueCount="7">
  <si>
    <t>DATA</t>
  </si>
  <si>
    <t>HARAS</t>
  </si>
  <si>
    <t>P.M. SOROCABA</t>
  </si>
  <si>
    <t>TOTAL</t>
  </si>
  <si>
    <t>P.M.S. PIRAPORA</t>
  </si>
  <si>
    <t xml:space="preserve"> 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</si>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</sst>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h]:mm:ss;@"/>
    <numFmt numFmtId="167" formatCode="[h]:mm"/>
  </numFmts>
  <fonts count="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0" fontId="0" fillId="0" borderId="0" xfId="0" applyNumberFormat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20" fontId="0" fillId="2" borderId="0" xfId="0" applyNumberFormat="1" applyFill="1"/>
    <xf numFmtId="165" fontId="0" fillId="2" borderId="1" xfId="0" applyNumberFormat="1" applyFill="1" applyBorder="1"/>
    <xf numFmtId="0" fontId="0" fillId="2" borderId="1" xfId="0" applyFill="1" applyBorder="1"/>
    <xf numFmtId="164" fontId="0" fillId="2" borderId="2" xfId="0" applyNumberFormat="1" applyFill="1" applyBorder="1"/>
    <xf numFmtId="165" fontId="0" fillId="2" borderId="3" xfId="0" applyNumberFormat="1" applyFill="1" applyBorder="1"/>
    <xf numFmtId="165" fontId="0" fillId="2" borderId="4" xfId="0" applyNumberFormat="1" applyFill="1" applyBorder="1"/>
    <xf numFmtId="164" fontId="0" fillId="2" borderId="5" xfId="0" applyNumberFormat="1" applyFill="1" applyBorder="1"/>
    <xf numFmtId="165" fontId="0" fillId="2" borderId="6" xfId="0" applyNumberFormat="1" applyFill="1" applyBorder="1"/>
    <xf numFmtId="164" fontId="1" fillId="2" borderId="7" xfId="0" applyNumberFormat="1" applyFont="1" applyFill="1" applyBorder="1"/>
    <xf numFmtId="165" fontId="1" fillId="2" borderId="8" xfId="0" applyNumberFormat="1" applyFont="1" applyFill="1" applyBorder="1"/>
    <xf numFmtId="165" fontId="2" fillId="2" borderId="9" xfId="0" applyNumberFormat="1" applyFont="1" applyFill="1" applyBorder="1"/>
    <xf numFmtId="167" fontId="0" fillId="2" borderId="0" xfId="0" applyNumberFormat="1" applyFill="1"/>
    <xf numFmtId="164" fontId="3" fillId="2" borderId="5" xfId="0" applyNumberFormat="1" applyFont="1" applyFill="1" applyBorder="1"/>
    <xf numFmtId="165" fontId="3" fillId="2" borderId="1" xfId="0" applyNumberFormat="1" applyFont="1" applyFill="1" applyBorder="1"/>
    <xf numFmtId="165" fontId="3" fillId="2" borderId="6" xfId="0" applyNumberFormat="1" applyFont="1" applyFill="1" applyBorder="1"/>
    <xf numFmtId="0" fontId="3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10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33" totalsRowShown="0" headerRowDxfId="0" dataDxfId="9" headerRowBorderDxfId="7" tableBorderDxfId="8" totalsRowBorderDxfId="6">
  <autoFilter ref="A1:E33" xr:uid="{00000000-0009-0000-0100-000001000000}"/>
  <tableColumns count="5">
    <tableColumn id="1" xr3:uid="{00000000-0010-0000-0000-000001000000}" name="DATA" dataDxfId="5"/>
    <tableColumn id="2" xr3:uid="{00000000-0010-0000-0000-000002000000}" name="P.M.S. PIRAPORA" dataDxfId="4"/>
    <tableColumn id="3" xr3:uid="{00000000-0010-0000-0000-000003000000}" name="HARAS" dataDxfId="3"/>
    <tableColumn id="4" xr3:uid="{00000000-0010-0000-0000-000004000000}" name="P.M. SOROCABA" dataDxfId="2"/>
    <tableColumn id="5" xr3:uid="{00000000-0010-0000-0000-000005000000}" name="TOT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zoomScaleNormal="100" workbookViewId="0">
      <selection activeCell="H19" sqref="H19"/>
    </sheetView>
  </sheetViews>
  <sheetFormatPr defaultColWidth="8.75" defaultRowHeight="14.25"/>
  <cols>
    <col min="1" max="1" width="18.125" style="2" customWidth="1"/>
    <col min="2" max="2" width="18.375" style="3" customWidth="1"/>
    <col min="3" max="3" width="13.625" style="3" customWidth="1"/>
    <col min="4" max="4" width="18.5" style="3" customWidth="1"/>
    <col min="5" max="5" width="17.125" style="3" customWidth="1"/>
    <col min="6" max="16384" width="8.75" style="4"/>
  </cols>
  <sheetData>
    <row r="1" spans="1:11">
      <c r="A1" s="8" t="s">
        <v>0</v>
      </c>
      <c r="B1" s="9" t="s">
        <v>4</v>
      </c>
      <c r="C1" s="9" t="s">
        <v>1</v>
      </c>
      <c r="D1" s="9" t="s">
        <v>2</v>
      </c>
      <c r="E1" s="10" t="s">
        <v>3</v>
      </c>
    </row>
    <row r="2" spans="1:11">
      <c r="A2" s="11">
        <v>45992</v>
      </c>
      <c r="B2" s="6"/>
      <c r="C2" s="6"/>
      <c r="D2" s="6"/>
      <c r="E2" s="12">
        <f>SUM(Tabela1[[#This Row],[P.M.S. PIRAPORA]:[P.M. SOROCABA]])</f>
        <v>0</v>
      </c>
    </row>
    <row r="3" spans="1:11">
      <c r="A3" s="11">
        <v>45993</v>
      </c>
      <c r="B3" s="6"/>
      <c r="C3" s="6">
        <v>0.34375</v>
      </c>
      <c r="D3" s="6"/>
      <c r="E3" s="12">
        <f>SUM(Tabela1[[#This Row],[P.M.S. PIRAPORA]:[P.M. SOROCABA]])</f>
        <v>0.34375</v>
      </c>
      <c r="H3" s="5"/>
      <c r="I3" s="5"/>
      <c r="J3" s="5"/>
    </row>
    <row r="4" spans="1:11">
      <c r="A4" s="11">
        <v>45994</v>
      </c>
      <c r="B4" s="6"/>
      <c r="C4" s="6">
        <v>0.33333333333333331</v>
      </c>
      <c r="D4" s="6"/>
      <c r="E4" s="12">
        <f>SUM(Tabela1[[#This Row],[P.M.S. PIRAPORA]:[P.M. SOROCABA]])</f>
        <v>0.33333333333333331</v>
      </c>
      <c r="H4" s="5"/>
      <c r="I4" s="5"/>
      <c r="J4" s="5"/>
    </row>
    <row r="5" spans="1:11">
      <c r="A5" s="11">
        <v>45995</v>
      </c>
      <c r="B5" s="6"/>
      <c r="C5" s="6">
        <v>0.30208333333333331</v>
      </c>
      <c r="D5" s="6">
        <v>3.125E-2</v>
      </c>
      <c r="E5" s="12">
        <f>SUM(Tabela1[[#This Row],[P.M.S. PIRAPORA]:[P.M. SOROCABA]])</f>
        <v>0.33333333333333331</v>
      </c>
      <c r="H5" s="5"/>
      <c r="J5" s="5"/>
    </row>
    <row r="6" spans="1:11">
      <c r="A6" s="17">
        <v>45996</v>
      </c>
      <c r="B6" s="18"/>
      <c r="C6" s="18">
        <v>0.2326388888888889</v>
      </c>
      <c r="D6" s="18"/>
      <c r="E6" s="19">
        <f>SUM(Tabela1[[#This Row],[P.M.S. PIRAPORA]:[P.M. SOROCABA]])</f>
        <v>0.2326388888888889</v>
      </c>
      <c r="I6" s="5"/>
      <c r="J6" s="5"/>
    </row>
    <row r="7" spans="1:11">
      <c r="A7" s="11">
        <v>45997</v>
      </c>
      <c r="B7" s="6"/>
      <c r="C7" s="6">
        <v>0.31597222222222221</v>
      </c>
      <c r="D7" s="6"/>
      <c r="E7" s="12">
        <f>SUM(Tabela1[[#This Row],[P.M.S. PIRAPORA]:[P.M. SOROCABA]])</f>
        <v>0.31597222222222221</v>
      </c>
      <c r="I7" s="5"/>
      <c r="J7" s="5"/>
      <c r="K7" s="5"/>
    </row>
    <row r="8" spans="1:11">
      <c r="A8" s="11">
        <v>45998</v>
      </c>
      <c r="B8" s="6"/>
      <c r="C8" s="7" t="s">
        <v>6</v>
      </c>
      <c r="D8" s="6"/>
      <c r="E8" s="12">
        <f>SUM(Tabela1[[#This Row],[P.M.S. PIRAPORA]:[P.M. SOROCABA]])</f>
        <v>0</v>
      </c>
      <c r="I8" s="5" t="s">
        <v>5</v>
      </c>
      <c r="J8" s="5"/>
      <c r="K8" s="5"/>
    </row>
    <row r="9" spans="1:11">
      <c r="A9" s="11">
        <v>45999</v>
      </c>
      <c r="B9" s="6"/>
      <c r="C9" s="6">
        <v>0.33333333333333331</v>
      </c>
      <c r="D9" s="6"/>
      <c r="E9" s="12">
        <f>SUM(Tabela1[[#This Row],[P.M.S. PIRAPORA]:[P.M. SOROCABA]])</f>
        <v>0.33333333333333331</v>
      </c>
      <c r="I9" s="5"/>
      <c r="J9" s="5"/>
    </row>
    <row r="10" spans="1:11">
      <c r="A10" s="11">
        <v>46000</v>
      </c>
      <c r="B10" s="1">
        <v>0.10069444444444445</v>
      </c>
      <c r="C10" s="6">
        <v>0.2326388888888889</v>
      </c>
      <c r="D10" s="6"/>
      <c r="E10" s="12">
        <f>SUM(Tabela1[[#This Row],[P.M.S. PIRAPORA]:[P.M. SOROCABA]])</f>
        <v>0.33333333333333337</v>
      </c>
      <c r="G10" s="16"/>
      <c r="J10" s="5"/>
    </row>
    <row r="11" spans="1:11">
      <c r="A11" s="11">
        <v>46001</v>
      </c>
      <c r="B11" s="6"/>
      <c r="C11" s="6">
        <v>0.27777777777777779</v>
      </c>
      <c r="D11" s="6">
        <v>3.8194444444444448E-2</v>
      </c>
      <c r="E11" s="12">
        <f>SUM(Tabela1[[#This Row],[P.M.S. PIRAPORA]:[P.M. SOROCABA]])</f>
        <v>0.31597222222222221</v>
      </c>
    </row>
    <row r="12" spans="1:11">
      <c r="A12" s="11">
        <v>46002</v>
      </c>
      <c r="B12" s="6"/>
      <c r="C12" s="6">
        <v>0.3298611111111111</v>
      </c>
      <c r="D12" s="6"/>
      <c r="E12" s="12">
        <f>SUM(Tabela1[[#This Row],[P.M.S. PIRAPORA]:[P.M. SOROCABA]])</f>
        <v>0.3298611111111111</v>
      </c>
      <c r="H12" s="5"/>
      <c r="J12" s="5"/>
    </row>
    <row r="13" spans="1:11">
      <c r="A13" s="11">
        <v>46003</v>
      </c>
      <c r="B13" s="6"/>
      <c r="C13" s="6">
        <v>0.46875</v>
      </c>
      <c r="D13" s="6"/>
      <c r="E13" s="12">
        <f>SUM(Tabela1[[#This Row],[P.M.S. PIRAPORA]:[P.M. SOROCABA]])</f>
        <v>0.46875</v>
      </c>
    </row>
    <row r="14" spans="1:11">
      <c r="A14" s="11">
        <v>46004</v>
      </c>
      <c r="B14" s="6"/>
      <c r="C14" s="6">
        <v>0.33333333333333331</v>
      </c>
      <c r="D14" s="6"/>
      <c r="E14" s="12">
        <f>SUM(Tabela1[[#This Row],[P.M.S. PIRAPORA]:[P.M. SOROCABA]])</f>
        <v>0.33333333333333331</v>
      </c>
    </row>
    <row r="15" spans="1:11">
      <c r="A15" s="11">
        <v>46005</v>
      </c>
      <c r="B15" s="6"/>
      <c r="C15" s="6" t="s">
        <v>6</v>
      </c>
      <c r="D15" s="6"/>
      <c r="E15" s="12">
        <f>SUM(Tabela1[[#This Row],[P.M.S. PIRAPORA]:[P.M. SOROCABA]])</f>
        <v>0</v>
      </c>
    </row>
    <row r="16" spans="1:11">
      <c r="A16" s="11">
        <v>46006</v>
      </c>
      <c r="B16" s="6">
        <v>2.0833333333333332E-2</v>
      </c>
      <c r="C16" s="6">
        <v>0.34722222222222221</v>
      </c>
      <c r="D16" s="6"/>
      <c r="E16" s="12">
        <f>SUM(Tabela1[[#This Row],[P.M.S. PIRAPORA]:[P.M. SOROCABA]])</f>
        <v>0.36805555555555552</v>
      </c>
    </row>
    <row r="17" spans="1:7">
      <c r="A17" s="11">
        <v>46007</v>
      </c>
      <c r="B17" s="6"/>
      <c r="C17" s="6">
        <v>0.3611111111111111</v>
      </c>
      <c r="D17" s="6"/>
      <c r="E17" s="12">
        <f>SUM(Tabela1[[#This Row],[P.M.S. PIRAPORA]:[P.M. SOROCABA]])</f>
        <v>0.3611111111111111</v>
      </c>
    </row>
    <row r="18" spans="1:7">
      <c r="A18" s="11">
        <v>46008</v>
      </c>
      <c r="B18" s="6"/>
      <c r="C18" s="6">
        <v>0.33333333333333331</v>
      </c>
      <c r="D18" s="6"/>
      <c r="E18" s="12">
        <f>SUM(Tabela1[[#This Row],[P.M.S. PIRAPORA]:[P.M. SOROCABA]])</f>
        <v>0.33333333333333331</v>
      </c>
      <c r="G18" s="21"/>
    </row>
    <row r="19" spans="1:7">
      <c r="A19" s="11">
        <v>46009</v>
      </c>
      <c r="B19" s="6"/>
      <c r="C19" s="6">
        <v>0.33333333333333331</v>
      </c>
      <c r="D19" s="6"/>
      <c r="E19" s="12">
        <f>SUM(Tabela1[[#This Row],[P.M.S. PIRAPORA]:[P.M. SOROCABA]])</f>
        <v>0.33333333333333331</v>
      </c>
    </row>
    <row r="20" spans="1:7">
      <c r="A20" s="11">
        <v>46010</v>
      </c>
      <c r="B20" s="6"/>
      <c r="C20" s="6">
        <v>0.21875</v>
      </c>
      <c r="D20" s="6">
        <v>0.11458333333333333</v>
      </c>
      <c r="E20" s="12">
        <f>SUM(Tabela1[[#This Row],[P.M.S. PIRAPORA]:[P.M. SOROCABA]])</f>
        <v>0.33333333333333331</v>
      </c>
    </row>
    <row r="21" spans="1:7">
      <c r="A21" s="11">
        <v>46011</v>
      </c>
      <c r="B21" s="6"/>
      <c r="C21" s="6">
        <v>0.16666666666666666</v>
      </c>
      <c r="D21" s="6"/>
      <c r="E21" s="12">
        <f>SUM(Tabela1[[#This Row],[P.M.S. PIRAPORA]:[P.M. SOROCABA]])</f>
        <v>0.16666666666666666</v>
      </c>
    </row>
    <row r="22" spans="1:7">
      <c r="A22" s="11">
        <v>46012</v>
      </c>
      <c r="B22" s="6"/>
      <c r="C22" s="6" t="s">
        <v>6</v>
      </c>
      <c r="D22" s="6"/>
      <c r="E22" s="12">
        <f>SUM(Tabela1[[#This Row],[P.M.S. PIRAPORA]:[P.M. SOROCABA]])</f>
        <v>0</v>
      </c>
    </row>
    <row r="23" spans="1:7">
      <c r="A23" s="11">
        <v>46013</v>
      </c>
      <c r="B23" s="6"/>
      <c r="C23" s="6">
        <v>0.33333333333333331</v>
      </c>
      <c r="D23" s="6"/>
      <c r="E23" s="12">
        <f>SUM(Tabela1[[#This Row],[P.M.S. PIRAPORA]:[P.M. SOROCABA]])</f>
        <v>0.33333333333333331</v>
      </c>
    </row>
    <row r="24" spans="1:7">
      <c r="A24" s="11">
        <v>46014</v>
      </c>
      <c r="B24" s="6"/>
      <c r="C24" s="6">
        <v>0.11805555555555555</v>
      </c>
      <c r="D24" s="6">
        <v>4.8611111111111112E-2</v>
      </c>
      <c r="E24" s="12">
        <f>SUM(Tabela1[[#This Row],[P.M.S. PIRAPORA]:[P.M. SOROCABA]])</f>
        <v>0.16666666666666666</v>
      </c>
    </row>
    <row r="25" spans="1:7">
      <c r="A25" s="11">
        <v>46015</v>
      </c>
      <c r="B25" s="6"/>
      <c r="C25" s="6">
        <v>0.1736111111111111</v>
      </c>
      <c r="D25" s="6"/>
      <c r="E25" s="12">
        <f>SUM(Tabela1[[#This Row],[P.M.S. PIRAPORA]:[P.M. SOROCABA]])</f>
        <v>0.1736111111111111</v>
      </c>
    </row>
    <row r="26" spans="1:7">
      <c r="A26" s="11">
        <v>46016</v>
      </c>
      <c r="B26" s="6"/>
      <c r="C26" s="6"/>
      <c r="D26" s="6"/>
      <c r="E26" s="12">
        <f>SUM(Tabela1[[#This Row],[P.M.S. PIRAPORA]:[P.M. SOROCABA]])</f>
        <v>0</v>
      </c>
    </row>
    <row r="27" spans="1:7">
      <c r="A27" s="11">
        <v>46017</v>
      </c>
      <c r="B27" s="6"/>
      <c r="C27" s="6">
        <v>0.3125</v>
      </c>
      <c r="D27" s="6"/>
      <c r="E27" s="12">
        <f>SUM(Tabela1[[#This Row],[P.M.S. PIRAPORA]:[P.M. SOROCABA]])</f>
        <v>0.3125</v>
      </c>
    </row>
    <row r="28" spans="1:7">
      <c r="A28" s="11">
        <v>46018</v>
      </c>
      <c r="B28" s="6"/>
      <c r="C28" s="6">
        <v>0.33333333333333331</v>
      </c>
      <c r="D28" s="6"/>
      <c r="E28" s="12">
        <f>SUM(Tabela1[[#This Row],[P.M.S. PIRAPORA]:[P.M. SOROCABA]])</f>
        <v>0.33333333333333331</v>
      </c>
    </row>
    <row r="29" spans="1:7">
      <c r="A29" s="11">
        <v>46019</v>
      </c>
      <c r="B29" s="6"/>
      <c r="C29" s="6" t="s">
        <v>6</v>
      </c>
      <c r="D29" s="6"/>
      <c r="E29" s="12">
        <f>SUM(Tabela1[[#This Row],[P.M.S. PIRAPORA]:[P.M. SOROCABA]])</f>
        <v>0</v>
      </c>
    </row>
    <row r="30" spans="1:7" s="20" customFormat="1">
      <c r="A30" s="17">
        <v>46020</v>
      </c>
      <c r="B30" s="18"/>
      <c r="C30" s="18">
        <v>0.21180555555555555</v>
      </c>
      <c r="D30" s="18"/>
      <c r="E30" s="19">
        <f>SUM(Tabela1[[#This Row],[P.M.S. PIRAPORA]:[P.M. SOROCABA]])</f>
        <v>0.21180555555555555</v>
      </c>
    </row>
    <row r="31" spans="1:7">
      <c r="A31" s="11">
        <v>46021</v>
      </c>
      <c r="B31" s="6"/>
      <c r="C31" s="6"/>
      <c r="D31" s="6"/>
      <c r="E31" s="12">
        <f>SUM(Tabela1[[#This Row],[P.M.S. PIRAPORA]:[P.M. SOROCABA]])</f>
        <v>0</v>
      </c>
    </row>
    <row r="32" spans="1:7">
      <c r="A32" s="11">
        <v>46022</v>
      </c>
      <c r="B32" s="6"/>
      <c r="C32" s="6"/>
      <c r="D32" s="6"/>
      <c r="E32" s="12">
        <f>SUM(Tabela1[[#This Row],[P.M.S. PIRAPORA]:[P.M. SOROCABA]])</f>
        <v>0</v>
      </c>
    </row>
    <row r="33" spans="1:5" ht="15">
      <c r="A33" s="13" t="s">
        <v>3</v>
      </c>
      <c r="B33" s="14">
        <f>SUM(B3:B32)</f>
        <v>0.12152777777777778</v>
      </c>
      <c r="C33" s="14">
        <f>SUM(C3:C32)</f>
        <v>6.7465277777777759</v>
      </c>
      <c r="D33" s="14">
        <f>SUM(D3:D32)</f>
        <v>0.2326388888888889</v>
      </c>
      <c r="E33" s="15">
        <f>SUM(E3:E32)</f>
        <v>7.1006944444444429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Edson da Silva Leite</dc:creator>
  <dc:description/>
  <cp:lastModifiedBy>Daniel Henrique Domingues Nogueira</cp:lastModifiedBy>
  <cp:revision>1</cp:revision>
  <dcterms:created xsi:type="dcterms:W3CDTF">2024-03-04T13:50:54Z</dcterms:created>
  <dcterms:modified xsi:type="dcterms:W3CDTF">2026-01-05T17:43:57Z</dcterms:modified>
  <dc:language>pt-BR</dc:language>
</cp:coreProperties>
</file>